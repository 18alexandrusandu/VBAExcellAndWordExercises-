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ndu\Desktop\VBA Excell\"/>
    </mc:Choice>
  </mc:AlternateContent>
  <xr:revisionPtr revIDLastSave="0" documentId="13_ncr:1_{5593274E-F011-405C-B898-2BF075176E70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FuelCostCalc" sheetId="1" r:id="rId1"/>
    <sheet name="PercentChange" sheetId="3" r:id="rId2"/>
    <sheet name="SurfaceArea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5" i="2" l="1" a="1"/>
  <c r="F22" i="3" a="1"/>
  <c r="F24" i="3" a="1"/>
  <c r="F25" i="3" a="1"/>
  <c r="F26" i="3" a="1"/>
  <c r="F23" i="3" a="1"/>
  <c r="F27" i="3" a="1"/>
  <c r="F21" i="3" a="1"/>
  <c r="D7" i="3" a="1"/>
  <c r="D9" i="3" a="1"/>
  <c r="D10" i="3" a="1"/>
  <c r="D8" i="3" a="1"/>
  <c r="D11" i="3" a="1"/>
  <c r="D6" i="3" a="1"/>
  <c r="H23" i="1" a="1"/>
  <c r="H24" i="1" a="1"/>
  <c r="H22" i="1" a="1"/>
  <c r="H19" i="1" a="1"/>
  <c r="H20" i="1" a="1"/>
  <c r="H18" i="1" a="1"/>
  <c r="H15" i="1" a="1"/>
  <c r="H16" i="1" a="1"/>
  <c r="H14" i="1" a="1"/>
  <c r="H8" i="1" a="1"/>
  <c r="B15" i="2" l="1"/>
  <c r="F27" i="3"/>
  <c r="F23" i="3"/>
  <c r="F26" i="3"/>
  <c r="F25" i="3"/>
  <c r="F24" i="3"/>
  <c r="F22" i="3"/>
  <c r="F21" i="3"/>
  <c r="D11" i="3"/>
  <c r="D8" i="3"/>
  <c r="D10" i="3"/>
  <c r="D9" i="3"/>
  <c r="D7" i="3"/>
  <c r="D6" i="3"/>
  <c r="H24" i="1"/>
  <c r="H23" i="1"/>
  <c r="H22" i="1"/>
  <c r="H20" i="1"/>
  <c r="H19" i="1"/>
  <c r="H18" i="1"/>
  <c r="H16" i="1"/>
  <c r="H15" i="1"/>
  <c r="H14" i="1"/>
  <c r="H8" i="1"/>
  <c r="D22" i="3"/>
  <c r="D23" i="3" s="1"/>
  <c r="D24" i="3" s="1"/>
  <c r="D25" i="3" s="1"/>
  <c r="D26" i="3" s="1"/>
  <c r="D27" i="3" s="1"/>
  <c r="C22" i="3"/>
  <c r="C23" i="3" s="1"/>
  <c r="C24" i="3" s="1"/>
  <c r="C25" i="3" s="1"/>
  <c r="C26" i="3" s="1"/>
  <c r="C27" i="3" s="1"/>
  <c r="E21" i="3"/>
  <c r="H6" i="1" a="1"/>
  <c r="H11" i="1" a="1"/>
  <c r="H12" i="1" a="1"/>
  <c r="H10" i="1" a="1"/>
  <c r="H7" i="1" a="1"/>
  <c r="H6" i="1" l="1"/>
  <c r="H12" i="1"/>
  <c r="H11" i="1"/>
  <c r="H10" i="1"/>
  <c r="H7" i="1"/>
  <c r="E27" i="3"/>
  <c r="E22" i="3"/>
  <c r="E26" i="3"/>
  <c r="E24" i="3"/>
  <c r="E25" i="3"/>
  <c r="E23" i="3"/>
  <c r="H2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<sst xmlns="http://schemas.openxmlformats.org/spreadsheetml/2006/main" count="65" uniqueCount="40">
  <si>
    <t xml:space="preserve">We have a road trip coming up. </t>
  </si>
  <si>
    <t>Prius</t>
  </si>
  <si>
    <t>Vehicle</t>
  </si>
  <si>
    <t>Prius C</t>
  </si>
  <si>
    <t>Mustang Convertible</t>
  </si>
  <si>
    <t>RV</t>
  </si>
  <si>
    <t>Average Miles Per Gallon</t>
  </si>
  <si>
    <t>Fuel Cost Calculator</t>
  </si>
  <si>
    <t>We're taking three cars</t>
  </si>
  <si>
    <t>Stretch</t>
  </si>
  <si>
    <t>Miles</t>
  </si>
  <si>
    <t>Local Cost / Gallon</t>
  </si>
  <si>
    <t>Car</t>
  </si>
  <si>
    <t>Cost</t>
  </si>
  <si>
    <t>CA to OR</t>
  </si>
  <si>
    <t>Mustang</t>
  </si>
  <si>
    <t>OR to WA</t>
  </si>
  <si>
    <t>WA to ID</t>
  </si>
  <si>
    <t>ID to NV</t>
  </si>
  <si>
    <t>NV to SF</t>
  </si>
  <si>
    <t xml:space="preserve">Formula = </t>
  </si>
  <si>
    <t>Total Miles of Stretch / Miles per Gallon * Local Cost per Gallon</t>
  </si>
  <si>
    <t>Paint Calculator</t>
  </si>
  <si>
    <t>Painting your house and don't know how much paint you'll need?</t>
  </si>
  <si>
    <t>Make a function to calculate surface area of your house!</t>
  </si>
  <si>
    <t>Width of House</t>
  </si>
  <si>
    <t>Depth of House</t>
  </si>
  <si>
    <t>Height House Square Block</t>
  </si>
  <si>
    <t>Height Roof Triangle Block</t>
  </si>
  <si>
    <t>Measurements</t>
  </si>
  <si>
    <t>Percent Change Over Time</t>
  </si>
  <si>
    <t>Year</t>
  </si>
  <si>
    <t>Lets calculate the change in snowfall in Tahoe for the last few years</t>
  </si>
  <si>
    <t>Snowfall in inches</t>
  </si>
  <si>
    <t>Percent Change</t>
  </si>
  <si>
    <t>PercentChange = (Current - Previous) / Previous</t>
  </si>
  <si>
    <t>Working Capital</t>
  </si>
  <si>
    <t>Change in Working Capital</t>
  </si>
  <si>
    <t>Assets</t>
  </si>
  <si>
    <t>Liabilities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</si>
</sst>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5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b/>
      <sz val="26"/>
      <color theme="5" tint="-0.249977111117893"/>
      <name val="Calibri"/>
      <family val="2"/>
      <scheme val="minor"/>
    </font>
    <font>
      <sz val="20"/>
      <color theme="9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6"/>
      <color theme="4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sz val="20"/>
      <color theme="5" tint="0.79998168889431442"/>
      <name val="Calibri"/>
      <family val="2"/>
      <scheme val="minor"/>
    </font>
    <font>
      <sz val="11"/>
      <color theme="5" tint="0.79998168889431442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b/>
      <sz val="14"/>
      <color theme="8" tint="-0.499984740745262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1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2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2" fillId="10" borderId="0" applyNumberFormat="0" applyBorder="0" applyAlignment="0" applyProtection="0"/>
    <xf numFmtId="0" fontId="1" fillId="11" borderId="0" applyNumberFormat="0" applyBorder="0" applyAlignment="0" applyProtection="0"/>
  </cellStyleXfs>
  <cellXfs count="95">
    <xf numFmtId="0" fontId="0" fillId="0" borderId="0" xfId="0"/>
    <xf numFmtId="0" fontId="0" fillId="13" borderId="0" xfId="0" applyFill="1"/>
    <xf numFmtId="0" fontId="0" fillId="14" borderId="0" xfId="0" applyFill="1"/>
    <xf numFmtId="0" fontId="5" fillId="10" borderId="2" xfId="11" applyFont="1" applyBorder="1" applyAlignment="1">
      <alignment horizontal="center"/>
    </xf>
    <xf numFmtId="0" fontId="5" fillId="10" borderId="3" xfId="11" applyFont="1" applyBorder="1" applyAlignment="1">
      <alignment horizontal="center"/>
    </xf>
    <xf numFmtId="0" fontId="5" fillId="10" borderId="4" xfId="11" applyFont="1" applyBorder="1" applyAlignment="1">
      <alignment horizontal="center"/>
    </xf>
    <xf numFmtId="0" fontId="1" fillId="8" borderId="5" xfId="9" applyBorder="1"/>
    <xf numFmtId="0" fontId="1" fillId="8" borderId="0" xfId="9" applyBorder="1"/>
    <xf numFmtId="0" fontId="1" fillId="8" borderId="0" xfId="9" applyBorder="1" applyAlignment="1">
      <alignment horizontal="center"/>
    </xf>
    <xf numFmtId="44" fontId="1" fillId="8" borderId="0" xfId="1" applyFill="1" applyBorder="1"/>
    <xf numFmtId="0" fontId="1" fillId="9" borderId="5" xfId="10" applyBorder="1"/>
    <xf numFmtId="0" fontId="1" fillId="9" borderId="0" xfId="10" applyBorder="1"/>
    <xf numFmtId="0" fontId="1" fillId="9" borderId="0" xfId="10" applyBorder="1" applyAlignment="1">
      <alignment horizontal="center"/>
    </xf>
    <xf numFmtId="44" fontId="1" fillId="9" borderId="0" xfId="1" applyFill="1" applyBorder="1"/>
    <xf numFmtId="0" fontId="1" fillId="11" borderId="5" xfId="12" applyBorder="1"/>
    <xf numFmtId="0" fontId="1" fillId="11" borderId="0" xfId="12" applyBorder="1"/>
    <xf numFmtId="0" fontId="1" fillId="11" borderId="0" xfId="12" applyBorder="1" applyAlignment="1">
      <alignment horizontal="center"/>
    </xf>
    <xf numFmtId="44" fontId="1" fillId="11" borderId="0" xfId="1" applyFill="1" applyBorder="1"/>
    <xf numFmtId="0" fontId="1" fillId="4" borderId="5" xfId="5" applyBorder="1"/>
    <xf numFmtId="0" fontId="1" fillId="4" borderId="0" xfId="5" applyBorder="1"/>
    <xf numFmtId="0" fontId="1" fillId="4" borderId="0" xfId="5" applyBorder="1" applyAlignment="1">
      <alignment horizontal="center"/>
    </xf>
    <xf numFmtId="44" fontId="1" fillId="4" borderId="0" xfId="1" applyFill="1" applyBorder="1"/>
    <xf numFmtId="0" fontId="1" fillId="3" borderId="5" xfId="4" applyBorder="1"/>
    <xf numFmtId="0" fontId="1" fillId="3" borderId="0" xfId="4" applyBorder="1"/>
    <xf numFmtId="0" fontId="1" fillId="3" borderId="0" xfId="4" applyBorder="1" applyAlignment="1">
      <alignment horizontal="center"/>
    </xf>
    <xf numFmtId="44" fontId="1" fillId="3" borderId="0" xfId="1" applyFill="1" applyBorder="1"/>
    <xf numFmtId="0" fontId="1" fillId="3" borderId="7" xfId="4" applyBorder="1"/>
    <xf numFmtId="0" fontId="1" fillId="3" borderId="8" xfId="4" applyBorder="1"/>
    <xf numFmtId="0" fontId="1" fillId="3" borderId="8" xfId="4" applyBorder="1" applyAlignment="1">
      <alignment horizontal="center"/>
    </xf>
    <xf numFmtId="44" fontId="1" fillId="3" borderId="8" xfId="1" applyFill="1" applyBorder="1"/>
    <xf numFmtId="0" fontId="2" fillId="6" borderId="2" xfId="7" applyBorder="1"/>
    <xf numFmtId="0" fontId="2" fillId="6" borderId="4" xfId="7" applyBorder="1"/>
    <xf numFmtId="0" fontId="1" fillId="7" borderId="5" xfId="8" applyBorder="1"/>
    <xf numFmtId="0" fontId="1" fillId="7" borderId="6" xfId="8" applyBorder="1"/>
    <xf numFmtId="0" fontId="1" fillId="7" borderId="7" xfId="8" applyBorder="1"/>
    <xf numFmtId="0" fontId="1" fillId="7" borderId="9" xfId="8" applyBorder="1"/>
    <xf numFmtId="44" fontId="1" fillId="8" borderId="6" xfId="1" applyFill="1" applyBorder="1"/>
    <xf numFmtId="0" fontId="1" fillId="8" borderId="7" xfId="9" applyBorder="1"/>
    <xf numFmtId="0" fontId="1" fillId="8" borderId="8" xfId="9" applyBorder="1"/>
    <xf numFmtId="0" fontId="1" fillId="8" borderId="8" xfId="9" applyBorder="1" applyAlignment="1">
      <alignment horizontal="center"/>
    </xf>
    <xf numFmtId="44" fontId="1" fillId="8" borderId="8" xfId="1" applyFill="1" applyBorder="1"/>
    <xf numFmtId="0" fontId="1" fillId="9" borderId="2" xfId="10" applyBorder="1"/>
    <xf numFmtId="0" fontId="1" fillId="9" borderId="3" xfId="10" applyBorder="1"/>
    <xf numFmtId="0" fontId="1" fillId="9" borderId="3" xfId="10" applyBorder="1" applyAlignment="1">
      <alignment horizontal="center"/>
    </xf>
    <xf numFmtId="44" fontId="1" fillId="9" borderId="3" xfId="1" applyFill="1" applyBorder="1"/>
    <xf numFmtId="0" fontId="1" fillId="9" borderId="4" xfId="10" applyBorder="1"/>
    <xf numFmtId="0" fontId="1" fillId="9" borderId="7" xfId="10" applyBorder="1"/>
    <xf numFmtId="0" fontId="1" fillId="9" borderId="8" xfId="10" applyBorder="1"/>
    <xf numFmtId="0" fontId="1" fillId="9" borderId="8" xfId="10" applyBorder="1" applyAlignment="1">
      <alignment horizontal="center"/>
    </xf>
    <xf numFmtId="44" fontId="1" fillId="9" borderId="8" xfId="1" applyFill="1" applyBorder="1"/>
    <xf numFmtId="0" fontId="1" fillId="11" borderId="2" xfId="12" applyBorder="1"/>
    <xf numFmtId="0" fontId="1" fillId="11" borderId="3" xfId="12" applyBorder="1"/>
    <xf numFmtId="0" fontId="1" fillId="11" borderId="3" xfId="12" applyBorder="1" applyAlignment="1">
      <alignment horizontal="center"/>
    </xf>
    <xf numFmtId="44" fontId="1" fillId="11" borderId="3" xfId="1" applyFill="1" applyBorder="1"/>
    <xf numFmtId="0" fontId="1" fillId="11" borderId="4" xfId="12" applyBorder="1"/>
    <xf numFmtId="0" fontId="1" fillId="11" borderId="7" xfId="12" applyBorder="1"/>
    <xf numFmtId="0" fontId="1" fillId="11" borderId="8" xfId="12" applyBorder="1"/>
    <xf numFmtId="0" fontId="1" fillId="11" borderId="8" xfId="12" applyBorder="1" applyAlignment="1">
      <alignment horizontal="center"/>
    </xf>
    <xf numFmtId="44" fontId="1" fillId="11" borderId="8" xfId="1" applyFill="1" applyBorder="1"/>
    <xf numFmtId="0" fontId="1" fillId="4" borderId="2" xfId="5" applyBorder="1"/>
    <xf numFmtId="0" fontId="1" fillId="4" borderId="3" xfId="5" applyBorder="1"/>
    <xf numFmtId="0" fontId="1" fillId="4" borderId="3" xfId="5" applyBorder="1" applyAlignment="1">
      <alignment horizontal="center"/>
    </xf>
    <xf numFmtId="44" fontId="1" fillId="4" borderId="3" xfId="1" applyFill="1" applyBorder="1"/>
    <xf numFmtId="0" fontId="1" fillId="4" borderId="4" xfId="5" applyBorder="1"/>
    <xf numFmtId="0" fontId="1" fillId="4" borderId="7" xfId="5" applyBorder="1"/>
    <xf numFmtId="0" fontId="1" fillId="4" borderId="8" xfId="5" applyBorder="1"/>
    <xf numFmtId="0" fontId="1" fillId="4" borderId="8" xfId="5" applyBorder="1" applyAlignment="1">
      <alignment horizontal="center"/>
    </xf>
    <xf numFmtId="44" fontId="1" fillId="4" borderId="8" xfId="1" applyFill="1" applyBorder="1"/>
    <xf numFmtId="0" fontId="1" fillId="3" borderId="2" xfId="4" applyBorder="1"/>
    <xf numFmtId="0" fontId="1" fillId="3" borderId="3" xfId="4" applyBorder="1"/>
    <xf numFmtId="0" fontId="1" fillId="3" borderId="3" xfId="4" applyBorder="1" applyAlignment="1">
      <alignment horizontal="center"/>
    </xf>
    <xf numFmtId="44" fontId="1" fillId="3" borderId="3" xfId="1" applyFill="1" applyBorder="1"/>
    <xf numFmtId="0" fontId="1" fillId="3" borderId="4" xfId="4" applyBorder="1"/>
    <xf numFmtId="44" fontId="4" fillId="12" borderId="1" xfId="1" applyFont="1" applyFill="1" applyBorder="1"/>
    <xf numFmtId="0" fontId="6" fillId="0" borderId="0" xfId="0" applyFont="1"/>
    <xf numFmtId="0" fontId="7" fillId="0" borderId="0" xfId="0" applyFont="1"/>
    <xf numFmtId="0" fontId="8" fillId="0" borderId="0" xfId="0" applyFont="1"/>
    <xf numFmtId="0" fontId="2" fillId="2" borderId="0" xfId="3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9" fillId="18" borderId="0" xfId="0" applyFont="1" applyFill="1"/>
    <xf numFmtId="0" fontId="0" fillId="18" borderId="0" xfId="0" applyFill="1" applyAlignment="1">
      <alignment horizontal="center"/>
    </xf>
    <xf numFmtId="0" fontId="10" fillId="18" borderId="0" xfId="0" applyFont="1" applyFill="1" applyAlignment="1">
      <alignment horizontal="center"/>
    </xf>
    <xf numFmtId="0" fontId="11" fillId="18" borderId="0" xfId="0" applyFont="1" applyFill="1"/>
    <xf numFmtId="9" fontId="0" fillId="18" borderId="0" xfId="2" applyFont="1" applyFill="1"/>
    <xf numFmtId="0" fontId="3" fillId="18" borderId="0" xfId="0" applyFont="1" applyFill="1"/>
    <xf numFmtId="0" fontId="12" fillId="19" borderId="0" xfId="0" applyFont="1" applyFill="1" applyAlignment="1">
      <alignment vertical="top"/>
    </xf>
    <xf numFmtId="0" fontId="13" fillId="19" borderId="0" xfId="0" applyFont="1" applyFill="1"/>
    <xf numFmtId="44" fontId="0" fillId="18" borderId="0" xfId="1" applyFont="1" applyFill="1"/>
    <xf numFmtId="0" fontId="14" fillId="14" borderId="10" xfId="6" applyFont="1" applyFill="1" applyBorder="1" applyAlignment="1">
      <alignment horizontal="center"/>
    </xf>
    <xf numFmtId="0" fontId="15" fillId="14" borderId="0" xfId="0" applyFont="1" applyFill="1"/>
    <xf numFmtId="0" fontId="14" fillId="14" borderId="10" xfId="6" applyFont="1" applyFill="1" applyBorder="1" applyAlignment="1">
      <alignment horizontal="left"/>
    </xf>
    <xf numFmtId="44" fontId="0" fillId="15" borderId="0" xfId="1" applyFont="1" applyFill="1"/>
  </cellXfs>
  <cellStyles count="13">
    <cellStyle name="20% - Accent1" xfId="4" builtinId="30"/>
    <cellStyle name="20% - Accent2" xfId="5" builtinId="34"/>
    <cellStyle name="20% - Accent4" xfId="8" builtinId="42"/>
    <cellStyle name="20% - Accent5" xfId="9" builtinId="46"/>
    <cellStyle name="20% - Accent6" xfId="12" builtinId="50"/>
    <cellStyle name="40% - Accent2" xfId="6" builtinId="35"/>
    <cellStyle name="40% - Accent5" xfId="10" builtinId="47"/>
    <cellStyle name="Accent1" xfId="3" builtinId="29"/>
    <cellStyle name="Accent4" xfId="7" builtinId="41"/>
    <cellStyle name="Accent6" xfId="11" builtinId="49"/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PercentChange!$C$5</c:f>
              <c:strCache>
                <c:ptCount val="1"/>
                <c:pt idx="0">
                  <c:v>Snowfall in inches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PercentChange!$B$6:$B$11</c:f>
              <c:numCache>
                <c:formatCode>General</c:formatCode>
                <c:ptCount val="6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</c:numCache>
            </c:numRef>
          </c:cat>
          <c:val>
            <c:numRef>
              <c:f>PercentChange!$C$6:$C$11</c:f>
              <c:numCache>
                <c:formatCode>General</c:formatCode>
                <c:ptCount val="6"/>
                <c:pt idx="0">
                  <c:v>424</c:v>
                </c:pt>
                <c:pt idx="1">
                  <c:v>337</c:v>
                </c:pt>
                <c:pt idx="2">
                  <c:v>301</c:v>
                </c:pt>
                <c:pt idx="3">
                  <c:v>334</c:v>
                </c:pt>
                <c:pt idx="4">
                  <c:v>200</c:v>
                </c:pt>
                <c:pt idx="5">
                  <c:v>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AD-44F6-9481-5721092BF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53696704"/>
        <c:axId val="253697264"/>
      </c:barChart>
      <c:lineChart>
        <c:grouping val="standard"/>
        <c:varyColors val="0"/>
        <c:ser>
          <c:idx val="1"/>
          <c:order val="1"/>
          <c:tx>
            <c:strRef>
              <c:f>PercentChange!$D$5</c:f>
              <c:strCache>
                <c:ptCount val="1"/>
                <c:pt idx="0">
                  <c:v>Percent Change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PercentChange!$D$6:$D$10</c:f>
              <c:numCache>
                <c:formatCode>0%</c:formatCode>
                <c:ptCount val="5"/>
                <c:pt idx="0">
                  <c:v>0</c:v>
                </c:pt>
                <c:pt idx="1">
                  <c:v>-0.20518867924528303</c:v>
                </c:pt>
                <c:pt idx="2">
                  <c:v>-0.10682492581602374</c:v>
                </c:pt>
                <c:pt idx="3">
                  <c:v>0.10963455149501661</c:v>
                </c:pt>
                <c:pt idx="4">
                  <c:v>-0.40119760479041916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AD-44F6-9481-5721092BF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3085984"/>
        <c:axId val="263084864"/>
      </c:lineChart>
      <c:catAx>
        <c:axId val="253696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3697264"/>
        <c:crosses val="autoZero"/>
        <c:auto val="1"/>
        <c:lblAlgn val="ctr"/>
        <c:lblOffset val="100"/>
        <c:noMultiLvlLbl val="0"/>
      </c:catAx>
      <c:valAx>
        <c:axId val="25369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3696704"/>
        <c:crosses val="autoZero"/>
        <c:crossBetween val="between"/>
      </c:valAx>
      <c:valAx>
        <c:axId val="263084864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3085984"/>
        <c:crosses val="max"/>
        <c:crossBetween val="between"/>
      </c:valAx>
      <c:catAx>
        <c:axId val="263085984"/>
        <c:scaling>
          <c:orientation val="minMax"/>
        </c:scaling>
        <c:delete val="1"/>
        <c:axPos val="b"/>
        <c:majorTickMark val="out"/>
        <c:minorTickMark val="none"/>
        <c:tickLblPos val="nextTo"/>
        <c:crossAx val="2630848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Working Capital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PercentChange!$E$20</c:f>
              <c:strCache>
                <c:ptCount val="1"/>
                <c:pt idx="0">
                  <c:v>Working Capital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PercentChange!$E$21:$E$27</c:f>
              <c:numCache>
                <c:formatCode>_("$"* #,##0.00_);_("$"* \(#,##0.00\);_("$"* "-"??_);_(@_)</c:formatCode>
                <c:ptCount val="7"/>
                <c:pt idx="0">
                  <c:v>-69183</c:v>
                </c:pt>
                <c:pt idx="1">
                  <c:v>-65811.999999999985</c:v>
                </c:pt>
                <c:pt idx="2">
                  <c:v>-51442.239999999962</c:v>
                </c:pt>
                <c:pt idx="3">
                  <c:v>-17679.231999999931</c:v>
                </c:pt>
                <c:pt idx="4">
                  <c:v>49267.251200000115</c:v>
                </c:pt>
                <c:pt idx="5">
                  <c:v>171892.42880000017</c:v>
                </c:pt>
                <c:pt idx="6">
                  <c:v>386705.67833600024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81-4333-9E54-3BDDD796B830}"/>
            </c:ext>
          </c:extLst>
        </c:ser>
        <c:ser>
          <c:idx val="1"/>
          <c:order val="1"/>
          <c:tx>
            <c:strRef>
              <c:f>PercentChange!$F$20</c:f>
              <c:strCache>
                <c:ptCount val="1"/>
                <c:pt idx="0">
                  <c:v>Percent Change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PercentChange!$F$21:$F$27</c:f>
              <c:numCache>
                <c:formatCode>0%</c:formatCode>
                <c:ptCount val="7"/>
                <c:pt idx="0">
                  <c:v>0</c:v>
                </c:pt>
                <c:pt idx="1">
                  <c:v>-4.8725843053929435E-2</c:v>
                </c:pt>
                <c:pt idx="2">
                  <c:v>-0.21834559046982316</c:v>
                </c:pt>
                <c:pt idx="3">
                  <c:v>-0.65632849580422625</c:v>
                </c:pt>
                <c:pt idx="4">
                  <c:v>-3.786730283306424</c:v>
                </c:pt>
                <c:pt idx="5">
                  <c:v>2.4889794866412194</c:v>
                </c:pt>
                <c:pt idx="6">
                  <c:v>1.2496958184815645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81-4333-9E54-3BDDD796B8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3403376"/>
        <c:axId val="256941136"/>
      </c:barChart>
      <c:catAx>
        <c:axId val="26340337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56941136"/>
        <c:crosses val="autoZero"/>
        <c:auto val="1"/>
        <c:lblAlgn val="ctr"/>
        <c:lblOffset val="100"/>
        <c:noMultiLvlLbl val="0"/>
      </c:catAx>
      <c:valAx>
        <c:axId val="256941136"/>
        <c:scaling>
          <c:orientation val="minMax"/>
          <c:max val="400000"/>
          <c:min val="-200000"/>
        </c:scaling>
        <c:delete val="0"/>
        <c:axPos val="l"/>
        <c:numFmt formatCode="_(&quot;$&quot;* #,##0_);_(&quot;$&quot;* \(#,##0\);_(&quot;$&quot;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3403376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chart" Target="../charts/chart1.xml"/><Relationship Id="rId1" Type="http://schemas.openxmlformats.org/officeDocument/2006/relationships/image" Target="../media/image2.jpeg"/><Relationship Id="rId4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214313</xdr:colOff>
      <xdr:row>27</xdr:row>
      <xdr:rowOff>119063</xdr:rowOff>
    </xdr:from>
    <xdr:to>
      <xdr:col>8</xdr:col>
      <xdr:colOff>135732</xdr:colOff>
      <xdr:row>61</xdr:row>
      <xdr:rowOff>29287</xdr:rowOff>
    </xdr:to>
    <xdr:pic>
      <xdr:nvPicPr>
        <xdr:cNvPr id="2" name="Picture 1" descr="Ryders Eyewear 2012 Road Trip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4313" y="5643563"/>
          <a:ext cx="9565482" cy="6387224"/>
        </a:xfrm>
        <a:prstGeom prst="rect">
          <a:avLst/>
        </a:prstGeom>
        <a:solidFill>
          <a:srgbClr val="FFFFFF">
            <a:shade val="85000"/>
          </a:srgbClr>
        </a:solidFill>
        <a:ln w="190500" cap="rnd">
          <a:solidFill>
            <a:srgbClr val="FFFFFF"/>
          </a:solidFill>
        </a:ln>
        <a:effectLst>
          <a:outerShdw blurRad="50000" algn="tl" rotWithShape="0">
            <a:srgbClr val="000000">
              <a:alpha val="41000"/>
            </a:srgbClr>
          </a:outerShdw>
        </a:effectLst>
        <a:scene3d>
          <a:camera prst="orthographicFront"/>
          <a:lightRig rig="twoPt" dir="t">
            <a:rot lat="0" lon="0" rev="7800000"/>
          </a:lightRig>
        </a:scene3d>
        <a:sp3d contourW="6350">
          <a:bevelT w="50800" h="16510"/>
          <a:contourClr>
            <a:srgbClr val="C0C0C0"/>
          </a:contourClr>
        </a:sp3d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523875</xdr:colOff>
      <xdr:row>1</xdr:row>
      <xdr:rowOff>66675</xdr:rowOff>
    </xdr:from>
    <xdr:to>
      <xdr:col>20</xdr:col>
      <xdr:colOff>400050</xdr:colOff>
      <xdr:row>12</xdr:row>
      <xdr:rowOff>114300</xdr:rowOff>
    </xdr:to>
    <xdr:pic>
      <xdr:nvPicPr>
        <xdr:cNvPr id="2" name="Picture 1" descr="Enjoy Fresh Powder at Northst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733425"/>
          <a:ext cx="6581775" cy="2228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438151</xdr:colOff>
      <xdr:row>3</xdr:row>
      <xdr:rowOff>152399</xdr:rowOff>
    </xdr:from>
    <xdr:to>
      <xdr:col>9</xdr:col>
      <xdr:colOff>381001</xdr:colOff>
      <xdr:row>11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</xdr:col>
      <xdr:colOff>600075</xdr:colOff>
      <xdr:row>17</xdr:row>
      <xdr:rowOff>9525</xdr:rowOff>
    </xdr:from>
    <xdr:to>
      <xdr:col>15</xdr:col>
      <xdr:colOff>173704</xdr:colOff>
      <xdr:row>27</xdr:row>
      <xdr:rowOff>152400</xdr:rowOff>
    </xdr:to>
    <xdr:pic>
      <xdr:nvPicPr>
        <xdr:cNvPr id="4" name="Picture 3" descr="https://www.credibly.com/incredibly/wp-content/uploads/2015/10/working-capital-growth-capital.jpg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48625" y="3810000"/>
          <a:ext cx="3231229" cy="2095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276225</xdr:colOff>
      <xdr:row>17</xdr:row>
      <xdr:rowOff>0</xdr:rowOff>
    </xdr:from>
    <xdr:to>
      <xdr:col>9</xdr:col>
      <xdr:colOff>514349</xdr:colOff>
      <xdr:row>27</xdr:row>
      <xdr:rowOff>104775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190499</xdr:colOff>
      <xdr:row>4</xdr:row>
      <xdr:rowOff>95249</xdr:rowOff>
    </xdr:from>
    <xdr:to>
      <xdr:col>8</xdr:col>
      <xdr:colOff>257174</xdr:colOff>
      <xdr:row>20</xdr:row>
      <xdr:rowOff>161924</xdr:rowOff>
    </xdr:to>
    <xdr:pic>
      <xdr:nvPicPr>
        <xdr:cNvPr id="7" name="Picture 6" descr="http://favorite-garden.ru/images/1.png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19299" y="857249"/>
          <a:ext cx="3114675" cy="3114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85725</xdr:colOff>
      <xdr:row>5</xdr:row>
      <xdr:rowOff>66675</xdr:rowOff>
    </xdr:from>
    <xdr:to>
      <xdr:col>5</xdr:col>
      <xdr:colOff>590550</xdr:colOff>
      <xdr:row>6</xdr:row>
      <xdr:rowOff>161925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133725" y="1019175"/>
          <a:ext cx="504825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chemeClr val="accent1"/>
              </a:solidFill>
            </a:rPr>
            <a:t>25'</a:t>
          </a:r>
        </a:p>
      </xdr:txBody>
    </xdr:sp>
    <xdr:clientData/>
  </xdr:twoCellAnchor>
  <xdr:twoCellAnchor>
    <xdr:from>
      <xdr:col>2</xdr:col>
      <xdr:colOff>466725</xdr:colOff>
      <xdr:row>14</xdr:row>
      <xdr:rowOff>0</xdr:rowOff>
    </xdr:from>
    <xdr:to>
      <xdr:col>3</xdr:col>
      <xdr:colOff>361950</xdr:colOff>
      <xdr:row>15</xdr:row>
      <xdr:rowOff>95250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 txBox="1"/>
      </xdr:nvSpPr>
      <xdr:spPr>
        <a:xfrm>
          <a:off x="1685925" y="2667000"/>
          <a:ext cx="504825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chemeClr val="accent1"/>
              </a:solidFill>
            </a:rPr>
            <a:t>10'</a:t>
          </a:r>
        </a:p>
      </xdr:txBody>
    </xdr:sp>
    <xdr:clientData/>
  </xdr:twoCellAnchor>
  <xdr:twoCellAnchor>
    <xdr:from>
      <xdr:col>4</xdr:col>
      <xdr:colOff>171450</xdr:colOff>
      <xdr:row>18</xdr:row>
      <xdr:rowOff>66675</xdr:rowOff>
    </xdr:from>
    <xdr:to>
      <xdr:col>5</xdr:col>
      <xdr:colOff>66675</xdr:colOff>
      <xdr:row>19</xdr:row>
      <xdr:rowOff>161925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 txBox="1"/>
      </xdr:nvSpPr>
      <xdr:spPr>
        <a:xfrm>
          <a:off x="2609850" y="3495675"/>
          <a:ext cx="504825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chemeClr val="accent1"/>
              </a:solidFill>
            </a:rPr>
            <a:t>15'</a:t>
          </a:r>
        </a:p>
      </xdr:txBody>
    </xdr:sp>
    <xdr:clientData/>
  </xdr:twoCellAnchor>
  <xdr:twoCellAnchor>
    <xdr:from>
      <xdr:col>4</xdr:col>
      <xdr:colOff>523875</xdr:colOff>
      <xdr:row>11</xdr:row>
      <xdr:rowOff>114300</xdr:rowOff>
    </xdr:from>
    <xdr:to>
      <xdr:col>5</xdr:col>
      <xdr:colOff>419100</xdr:colOff>
      <xdr:row>13</xdr:row>
      <xdr:rowOff>19050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2962275" y="2209800"/>
          <a:ext cx="504825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chemeClr val="accent1"/>
              </a:solidFill>
            </a:rPr>
            <a:t>8'</a:t>
          </a:r>
        </a:p>
      </xdr:txBody>
    </xdr:sp>
    <xdr:clientData/>
  </xdr:twoCellAnchor>
  <xdr:twoCellAnchor>
    <xdr:from>
      <xdr:col>4</xdr:col>
      <xdr:colOff>457200</xdr:colOff>
      <xdr:row>8</xdr:row>
      <xdr:rowOff>95250</xdr:rowOff>
    </xdr:from>
    <xdr:to>
      <xdr:col>4</xdr:col>
      <xdr:colOff>466725</xdr:colOff>
      <xdr:row>12</xdr:row>
      <xdr:rowOff>152400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CxnSpPr/>
      </xdr:nvCxnSpPr>
      <xdr:spPr>
        <a:xfrm>
          <a:off x="2895600" y="1619250"/>
          <a:ext cx="9525" cy="81915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Marquee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6"/>
  <sheetViews>
    <sheetView topLeftCell="A43" zoomScale="80" zoomScaleNormal="80" workbookViewId="0">
      <selection activeCell="H22" sqref="H22:H24"/>
    </sheetView>
  </sheetViews>
  <sheetFormatPr defaultRowHeight="15" x14ac:dyDescent="0.25"/>
  <cols>
    <col min="1" max="1" width="21.7109375" customWidth="1"/>
    <col min="2" max="2" width="27.140625" customWidth="1"/>
    <col min="3" max="3" width="8.85546875" customWidth="1"/>
    <col min="4" max="4" width="12.7109375" customWidth="1"/>
    <col min="5" max="5" width="17.5703125" customWidth="1"/>
    <col min="6" max="6" width="10.5703125" customWidth="1"/>
    <col min="7" max="7" width="22.5703125" bestFit="1" customWidth="1"/>
    <col min="8" max="8" width="23.5703125" customWidth="1"/>
    <col min="10" max="10" width="19.28515625" customWidth="1"/>
  </cols>
  <sheetData>
    <row r="1" spans="1:8" ht="33.75" x14ac:dyDescent="0.5">
      <c r="A1" s="74" t="s">
        <v>7</v>
      </c>
    </row>
    <row r="2" spans="1:8" x14ac:dyDescent="0.25">
      <c r="A2" s="1" t="s">
        <v>0</v>
      </c>
      <c r="B2" s="1"/>
      <c r="D2" t="s">
        <v>20</v>
      </c>
      <c r="E2" t="s">
        <v>21</v>
      </c>
    </row>
    <row r="3" spans="1:8" x14ac:dyDescent="0.25">
      <c r="A3" s="2" t="s">
        <v>8</v>
      </c>
      <c r="B3" s="2"/>
    </row>
    <row r="4" spans="1:8" ht="15.75" thickBot="1" x14ac:dyDescent="0.3"/>
    <row r="5" spans="1:8" ht="18.75" x14ac:dyDescent="0.3">
      <c r="A5" s="30" t="s">
        <v>2</v>
      </c>
      <c r="B5" s="31" t="s">
        <v>6</v>
      </c>
      <c r="D5" s="3" t="s">
        <v>9</v>
      </c>
      <c r="E5" s="4" t="s">
        <v>12</v>
      </c>
      <c r="F5" s="4" t="s">
        <v>10</v>
      </c>
      <c r="G5" s="4" t="s">
        <v>11</v>
      </c>
      <c r="H5" s="5" t="s">
        <v>13</v>
      </c>
    </row>
    <row r="6" spans="1:8" x14ac:dyDescent="0.25">
      <c r="A6" s="32" t="s">
        <v>3</v>
      </c>
      <c r="B6" s="33">
        <v>51</v>
      </c>
      <c r="D6" s="6" t="s">
        <v>14</v>
      </c>
      <c r="E6" s="7" t="s">
        <v>1</v>
      </c>
      <c r="F6" s="8">
        <v>492</v>
      </c>
      <c r="G6" s="9">
        <v>2.8610000000000002</v>
      </c>
      <c r="H6" s="36" cm="1">
        <f t="array" ref="H6">CostOfGas(F6,B6,G6)</f>
        <v>27.600235294117649</v>
      </c>
    </row>
    <row r="7" spans="1:8" x14ac:dyDescent="0.25">
      <c r="A7" s="32" t="s">
        <v>4</v>
      </c>
      <c r="B7" s="33">
        <v>29</v>
      </c>
      <c r="D7" s="6" t="s">
        <v>14</v>
      </c>
      <c r="E7" s="7" t="s">
        <v>15</v>
      </c>
      <c r="F7" s="8">
        <v>492</v>
      </c>
      <c r="G7" s="9">
        <v>2.8610000000000002</v>
      </c>
      <c r="H7" s="36" cm="1">
        <f t="array" ref="H7">CostOfGas(F7,B7,G7)</f>
        <v>48.538344827586208</v>
      </c>
    </row>
    <row r="8" spans="1:8" ht="15.75" thickBot="1" x14ac:dyDescent="0.3">
      <c r="A8" s="34" t="s">
        <v>5</v>
      </c>
      <c r="B8" s="35">
        <v>9</v>
      </c>
      <c r="D8" s="37" t="s">
        <v>14</v>
      </c>
      <c r="E8" s="38" t="s">
        <v>5</v>
      </c>
      <c r="F8" s="39">
        <v>492</v>
      </c>
      <c r="G8" s="40">
        <v>2.8610000000000002</v>
      </c>
      <c r="H8" s="36" cm="1">
        <f t="array" ref="H8">CostOfGas(F8,B8,G8)</f>
        <v>156.40133333333335</v>
      </c>
    </row>
    <row r="9" spans="1:8" ht="15.75" thickBot="1" x14ac:dyDescent="0.3"/>
    <row r="10" spans="1:8" ht="15.75" thickBot="1" x14ac:dyDescent="0.3">
      <c r="D10" s="41" t="s">
        <v>16</v>
      </c>
      <c r="E10" s="42" t="s">
        <v>1</v>
      </c>
      <c r="F10" s="43">
        <v>328</v>
      </c>
      <c r="G10" s="44">
        <v>2.5310000000000001</v>
      </c>
      <c r="H10" s="45" cm="1">
        <f t="array" ref="H10">CostOfGas(F10,B6,G10)</f>
        <v>16.27780392156863</v>
      </c>
    </row>
    <row r="11" spans="1:8" ht="15.75" thickBot="1" x14ac:dyDescent="0.3">
      <c r="D11" s="10" t="s">
        <v>16</v>
      </c>
      <c r="E11" s="11" t="s">
        <v>15</v>
      </c>
      <c r="F11" s="12">
        <v>328</v>
      </c>
      <c r="G11" s="13">
        <v>2.5310000000000001</v>
      </c>
      <c r="H11" s="45" cm="1">
        <f t="array" ref="H11">CostOfGas(F11,B7,G11)</f>
        <v>28.626482758620693</v>
      </c>
    </row>
    <row r="12" spans="1:8" ht="15.75" thickBot="1" x14ac:dyDescent="0.3">
      <c r="D12" s="46" t="s">
        <v>16</v>
      </c>
      <c r="E12" s="47" t="s">
        <v>5</v>
      </c>
      <c r="F12" s="48">
        <v>328</v>
      </c>
      <c r="G12" s="49">
        <v>2.5310000000000001</v>
      </c>
      <c r="H12" s="45" cm="1">
        <f t="array" ref="H12">CostOfGas(F12,B8,G12)</f>
        <v>92.24088888888889</v>
      </c>
    </row>
    <row r="13" spans="1:8" ht="15.75" thickBot="1" x14ac:dyDescent="0.3"/>
    <row r="14" spans="1:8" ht="15.75" thickBot="1" x14ac:dyDescent="0.3">
      <c r="D14" s="50" t="s">
        <v>17</v>
      </c>
      <c r="E14" s="51" t="s">
        <v>1</v>
      </c>
      <c r="F14" s="52">
        <v>774</v>
      </c>
      <c r="G14" s="53">
        <v>2.645</v>
      </c>
      <c r="H14" s="54" cm="1">
        <f t="array" ref="H14">CostOfGas(F14,B6,G14)</f>
        <v>40.141764705882352</v>
      </c>
    </row>
    <row r="15" spans="1:8" ht="15.75" thickBot="1" x14ac:dyDescent="0.3">
      <c r="D15" s="14" t="s">
        <v>17</v>
      </c>
      <c r="E15" s="15" t="s">
        <v>15</v>
      </c>
      <c r="F15" s="16">
        <v>774</v>
      </c>
      <c r="G15" s="17">
        <v>2.645</v>
      </c>
      <c r="H15" s="54" cm="1">
        <f t="array" ref="H15">CostOfGas(F15,B7,G15)</f>
        <v>70.594137931034481</v>
      </c>
    </row>
    <row r="16" spans="1:8" ht="15.75" thickBot="1" x14ac:dyDescent="0.3">
      <c r="D16" s="55" t="s">
        <v>17</v>
      </c>
      <c r="E16" s="56" t="s">
        <v>5</v>
      </c>
      <c r="F16" s="57">
        <v>774</v>
      </c>
      <c r="G16" s="58">
        <v>2.645</v>
      </c>
      <c r="H16" s="54" cm="1">
        <f t="array" ref="H16">CostOfGas(F16,B8,G16)</f>
        <v>227.47</v>
      </c>
    </row>
    <row r="17" spans="4:8" ht="15.75" thickBot="1" x14ac:dyDescent="0.3"/>
    <row r="18" spans="4:8" ht="15.75" thickBot="1" x14ac:dyDescent="0.3">
      <c r="D18" s="59" t="s">
        <v>18</v>
      </c>
      <c r="E18" s="60" t="s">
        <v>1</v>
      </c>
      <c r="F18" s="61">
        <v>663</v>
      </c>
      <c r="G18" s="62">
        <v>2.4700000000000002</v>
      </c>
      <c r="H18" s="63" cm="1">
        <f t="array" ref="H18">CostOfGas(F18,B6,G18)</f>
        <v>32.11</v>
      </c>
    </row>
    <row r="19" spans="4:8" ht="15.75" thickBot="1" x14ac:dyDescent="0.3">
      <c r="D19" s="18" t="s">
        <v>18</v>
      </c>
      <c r="E19" s="19" t="s">
        <v>15</v>
      </c>
      <c r="F19" s="20">
        <v>663</v>
      </c>
      <c r="G19" s="21">
        <v>2.4700000000000002</v>
      </c>
      <c r="H19" s="63" cm="1">
        <f t="array" ref="H19">CostOfGas(F19,B7,G19)</f>
        <v>56.469310344827591</v>
      </c>
    </row>
    <row r="20" spans="4:8" ht="15.75" thickBot="1" x14ac:dyDescent="0.3">
      <c r="D20" s="64" t="s">
        <v>18</v>
      </c>
      <c r="E20" s="65" t="s">
        <v>5</v>
      </c>
      <c r="F20" s="66">
        <v>663</v>
      </c>
      <c r="G20" s="67">
        <v>2.4700000000000002</v>
      </c>
      <c r="H20" s="63" cm="1">
        <f t="array" ref="H20">CostOfGas(F20,B8,G20)</f>
        <v>181.95666666666668</v>
      </c>
    </row>
    <row r="21" spans="4:8" ht="15.75" thickBot="1" x14ac:dyDescent="0.3"/>
    <row r="22" spans="4:8" ht="15.75" thickBot="1" x14ac:dyDescent="0.3">
      <c r="D22" s="68" t="s">
        <v>19</v>
      </c>
      <c r="E22" s="69" t="s">
        <v>1</v>
      </c>
      <c r="F22" s="70">
        <v>569</v>
      </c>
      <c r="G22" s="71">
        <v>2.5590000000000002</v>
      </c>
      <c r="H22" s="72" cm="1">
        <f t="array" ref="H22">CostOfGas(F22,B6,G22)</f>
        <v>28.550411764705885</v>
      </c>
    </row>
    <row r="23" spans="4:8" ht="15.75" thickBot="1" x14ac:dyDescent="0.3">
      <c r="D23" s="22" t="s">
        <v>19</v>
      </c>
      <c r="E23" s="23" t="s">
        <v>15</v>
      </c>
      <c r="F23" s="24">
        <v>569</v>
      </c>
      <c r="G23" s="25">
        <v>2.5590000000000002</v>
      </c>
      <c r="H23" s="72" cm="1">
        <f t="array" ref="H23">CostOfGas(F23,B7,G23)</f>
        <v>50.209344827586207</v>
      </c>
    </row>
    <row r="24" spans="4:8" ht="15.75" thickBot="1" x14ac:dyDescent="0.3">
      <c r="D24" s="26" t="s">
        <v>19</v>
      </c>
      <c r="E24" s="27" t="s">
        <v>5</v>
      </c>
      <c r="F24" s="28">
        <v>569</v>
      </c>
      <c r="G24" s="29">
        <v>2.5590000000000002</v>
      </c>
      <c r="H24" s="72" cm="1">
        <f t="array" ref="H24">CostOfGas(F24,B8,G24)</f>
        <v>161.78566666666669</v>
      </c>
    </row>
    <row r="25" spans="4:8" ht="15.75" thickBot="1" x14ac:dyDescent="0.3"/>
    <row r="26" spans="4:8" ht="19.5" thickBot="1" x14ac:dyDescent="0.35">
      <c r="H26" s="73">
        <f>SUM(H6:H24)</f>
        <v>1218.9723919314854</v>
      </c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29"/>
  <sheetViews>
    <sheetView topLeftCell="A16" zoomScaleNormal="100" workbookViewId="0">
      <selection activeCell="F24" sqref="F24"/>
    </sheetView>
  </sheetViews>
  <sheetFormatPr defaultRowHeight="15" x14ac:dyDescent="0.25"/>
  <cols>
    <col min="2" max="2" width="12.5703125" bestFit="1" customWidth="1"/>
    <col min="3" max="3" width="19.85546875" customWidth="1"/>
    <col min="4" max="4" width="16.42578125" customWidth="1"/>
    <col min="5" max="5" width="13.42578125" customWidth="1"/>
    <col min="6" max="6" width="12.85546875" customWidth="1"/>
  </cols>
  <sheetData>
    <row r="1" spans="1:11" s="89" customFormat="1" ht="52.5" customHeight="1" x14ac:dyDescent="0.25">
      <c r="A1" s="88" t="s">
        <v>30</v>
      </c>
    </row>
    <row r="2" spans="1:11" s="81" customFormat="1" x14ac:dyDescent="0.25"/>
    <row r="3" spans="1:11" s="81" customFormat="1" ht="21" x14ac:dyDescent="0.35">
      <c r="B3" s="82" t="s">
        <v>32</v>
      </c>
      <c r="C3" s="82"/>
      <c r="D3" s="82"/>
      <c r="E3" s="82"/>
      <c r="F3" s="82"/>
      <c r="G3" s="82"/>
      <c r="H3" s="82"/>
      <c r="I3" s="82"/>
      <c r="J3" s="82"/>
      <c r="K3" s="82"/>
    </row>
    <row r="4" spans="1:11" s="81" customFormat="1" x14ac:dyDescent="0.25"/>
    <row r="5" spans="1:11" s="81" customFormat="1" ht="15.75" x14ac:dyDescent="0.25">
      <c r="B5" s="84" t="s">
        <v>31</v>
      </c>
      <c r="C5" s="84" t="s">
        <v>33</v>
      </c>
      <c r="D5" s="85" t="s">
        <v>34</v>
      </c>
    </row>
    <row r="6" spans="1:11" s="81" customFormat="1" x14ac:dyDescent="0.25">
      <c r="B6" s="83">
        <v>2009</v>
      </c>
      <c r="C6" s="83">
        <v>424</v>
      </c>
      <c r="D6" s="86" t="e" cm="1">
        <f t="array" ref="D6">PercentChangeOverTime(C6,C5)</f>
        <v>#VALUE!</v>
      </c>
    </row>
    <row r="7" spans="1:11" s="81" customFormat="1" x14ac:dyDescent="0.25">
      <c r="B7" s="83">
        <v>2010</v>
      </c>
      <c r="C7" s="83">
        <v>337</v>
      </c>
      <c r="D7" s="86" cm="1">
        <f t="array" ref="D7">PercentChangeOverTime(C7,C6)</f>
        <v>-0.20518867924528303</v>
      </c>
    </row>
    <row r="8" spans="1:11" s="81" customFormat="1" x14ac:dyDescent="0.25">
      <c r="B8" s="83">
        <v>2011</v>
      </c>
      <c r="C8" s="83">
        <v>301</v>
      </c>
      <c r="D8" s="86" cm="1">
        <f t="array" ref="D8">PercentChangeOverTime(C8,C7)</f>
        <v>-0.10682492581602374</v>
      </c>
    </row>
    <row r="9" spans="1:11" s="81" customFormat="1" x14ac:dyDescent="0.25">
      <c r="B9" s="83">
        <v>2012</v>
      </c>
      <c r="C9" s="83">
        <v>334</v>
      </c>
      <c r="D9" s="86" cm="1">
        <f t="array" ref="D9">PercentChangeOverTime(C9,C8)</f>
        <v>0.10963455149501661</v>
      </c>
    </row>
    <row r="10" spans="1:11" s="81" customFormat="1" x14ac:dyDescent="0.25">
      <c r="B10" s="83">
        <v>2013</v>
      </c>
      <c r="C10" s="83">
        <v>200</v>
      </c>
      <c r="D10" s="86" cm="1">
        <f t="array" ref="D10">PercentChangeOverTime(C10,C9)</f>
        <v>-0.40119760479041916</v>
      </c>
    </row>
    <row r="11" spans="1:11" s="81" customFormat="1" x14ac:dyDescent="0.25">
      <c r="B11" s="83">
        <v>2014</v>
      </c>
      <c r="C11" s="83">
        <v>133</v>
      </c>
      <c r="D11" s="86" cm="1">
        <f t="array" ref="D11">PercentChangeOverTime(C11,C10)</f>
        <v>-0.33500000000000002</v>
      </c>
    </row>
    <row r="12" spans="1:11" s="81" customFormat="1" x14ac:dyDescent="0.25"/>
    <row r="13" spans="1:11" s="81" customFormat="1" x14ac:dyDescent="0.25">
      <c r="B13" s="87" t="s">
        <v>35</v>
      </c>
      <c r="C13" s="87"/>
      <c r="D13" s="87"/>
    </row>
    <row r="14" spans="1:11" s="80" customFormat="1" x14ac:dyDescent="0.25"/>
    <row r="15" spans="1:11" s="80" customFormat="1" x14ac:dyDescent="0.25"/>
    <row r="16" spans="1:11" s="80" customFormat="1" x14ac:dyDescent="0.25"/>
    <row r="17" spans="2:6" s="2" customFormat="1" x14ac:dyDescent="0.25"/>
    <row r="18" spans="2:6" s="2" customFormat="1" ht="18.75" x14ac:dyDescent="0.3">
      <c r="B18" s="92" t="s">
        <v>37</v>
      </c>
    </row>
    <row r="19" spans="2:6" s="2" customFormat="1" x14ac:dyDescent="0.25"/>
    <row r="20" spans="2:6" s="2" customFormat="1" x14ac:dyDescent="0.25">
      <c r="B20" s="91" t="s">
        <v>31</v>
      </c>
      <c r="C20" s="91" t="s">
        <v>38</v>
      </c>
      <c r="D20" s="91" t="s">
        <v>39</v>
      </c>
      <c r="E20" s="91" t="s">
        <v>36</v>
      </c>
      <c r="F20" s="93" t="s">
        <v>34</v>
      </c>
    </row>
    <row r="21" spans="2:6" s="2" customFormat="1" x14ac:dyDescent="0.25">
      <c r="B21" s="81">
        <v>2010</v>
      </c>
      <c r="C21" s="90">
        <v>43019</v>
      </c>
      <c r="D21" s="90">
        <v>112202</v>
      </c>
      <c r="E21" s="90">
        <f>C21-D21</f>
        <v>-69183</v>
      </c>
      <c r="F21" s="86" t="e" cm="1">
        <f t="array" ref="F21">PercentChangeOverTime(E21,E20)</f>
        <v>#VALUE!</v>
      </c>
    </row>
    <row r="22" spans="2:6" s="2" customFormat="1" x14ac:dyDescent="0.25">
      <c r="B22" s="81">
        <v>2011</v>
      </c>
      <c r="C22" s="90">
        <f>C21*1.6</f>
        <v>68830.400000000009</v>
      </c>
      <c r="D22" s="90">
        <f>D21*1.2</f>
        <v>134642.4</v>
      </c>
      <c r="E22" s="90">
        <f t="shared" ref="E22:E27" si="0">C22-D22</f>
        <v>-65811.999999999985</v>
      </c>
      <c r="F22" s="86" cm="1">
        <f t="array" ref="F22">PercentChangeOverTime(E22,E21)</f>
        <v>-4.8725843053929435E-2</v>
      </c>
    </row>
    <row r="23" spans="2:6" s="2" customFormat="1" x14ac:dyDescent="0.25">
      <c r="B23" s="81">
        <v>2012</v>
      </c>
      <c r="C23" s="90">
        <f t="shared" ref="C23:C27" si="1">C22*1.6</f>
        <v>110128.64000000001</v>
      </c>
      <c r="D23" s="90">
        <f t="shared" ref="D23:D27" si="2">D22*1.2</f>
        <v>161570.87999999998</v>
      </c>
      <c r="E23" s="90">
        <f t="shared" si="0"/>
        <v>-51442.239999999962</v>
      </c>
      <c r="F23" s="86" cm="1">
        <f t="array" ref="F23">PercentChangeOverTime(E23,E22)</f>
        <v>-0.21834559046982316</v>
      </c>
    </row>
    <row r="24" spans="2:6" s="2" customFormat="1" x14ac:dyDescent="0.25">
      <c r="B24" s="81">
        <v>2013</v>
      </c>
      <c r="C24" s="90">
        <f t="shared" si="1"/>
        <v>176205.82400000002</v>
      </c>
      <c r="D24" s="90">
        <f t="shared" si="2"/>
        <v>193885.05599999995</v>
      </c>
      <c r="E24" s="90">
        <f t="shared" si="0"/>
        <v>-17679.231999999931</v>
      </c>
      <c r="F24" s="86" cm="1">
        <f t="array" ref="F24">PercentChangeOverTime(E24,E23)</f>
        <v>-0.65632849580422625</v>
      </c>
    </row>
    <row r="25" spans="2:6" s="2" customFormat="1" x14ac:dyDescent="0.25">
      <c r="B25" s="81">
        <v>2014</v>
      </c>
      <c r="C25" s="90">
        <f t="shared" si="1"/>
        <v>281929.31840000005</v>
      </c>
      <c r="D25" s="90">
        <f t="shared" si="2"/>
        <v>232662.06719999993</v>
      </c>
      <c r="E25" s="90">
        <f t="shared" si="0"/>
        <v>49267.251200000115</v>
      </c>
      <c r="F25" s="86" cm="1">
        <f t="array" ref="F25">PercentChangeOverTime(E25,E24)</f>
        <v>-3.786730283306424</v>
      </c>
    </row>
    <row r="26" spans="2:6" s="2" customFormat="1" x14ac:dyDescent="0.25">
      <c r="B26" s="81">
        <v>2015</v>
      </c>
      <c r="C26" s="90">
        <f t="shared" si="1"/>
        <v>451086.90944000008</v>
      </c>
      <c r="D26" s="90">
        <f t="shared" si="2"/>
        <v>279194.48063999991</v>
      </c>
      <c r="E26" s="90">
        <f t="shared" si="0"/>
        <v>171892.42880000017</v>
      </c>
      <c r="F26" s="86" cm="1">
        <f t="array" ref="F26">PercentChangeOverTime(E26,E25)</f>
        <v>2.4889794866412194</v>
      </c>
    </row>
    <row r="27" spans="2:6" s="2" customFormat="1" x14ac:dyDescent="0.25">
      <c r="B27" s="81">
        <v>2016</v>
      </c>
      <c r="C27" s="90">
        <f t="shared" si="1"/>
        <v>721739.05510400014</v>
      </c>
      <c r="D27" s="90">
        <f t="shared" si="2"/>
        <v>335033.3767679999</v>
      </c>
      <c r="E27" s="90">
        <f t="shared" si="0"/>
        <v>386705.67833600024</v>
      </c>
      <c r="F27" s="86" cm="1">
        <f t="array" ref="F27">PercentChangeOverTime(E27,E26)</f>
        <v>1.2496958184815645</v>
      </c>
    </row>
    <row r="28" spans="2:6" s="2" customFormat="1" x14ac:dyDescent="0.25"/>
    <row r="29" spans="2:6" s="2" customFormat="1" x14ac:dyDescent="0.25"/>
  </sheetData>
  <sortState xmlns:xlrd2="http://schemas.microsoft.com/office/spreadsheetml/2017/richdata2" ref="B6:D11">
    <sortCondition ref="B6"/>
  </sortState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15"/>
  <sheetViews>
    <sheetView tabSelected="1" topLeftCell="A7" workbookViewId="0">
      <selection activeCell="B20" sqref="B20"/>
    </sheetView>
  </sheetViews>
  <sheetFormatPr defaultRowHeight="15" x14ac:dyDescent="0.25"/>
  <cols>
    <col min="1" max="1" width="27.42578125" customWidth="1"/>
    <col min="2" max="2" width="10.5703125" bestFit="1" customWidth="1"/>
    <col min="10" max="10" width="23.85546875" customWidth="1"/>
  </cols>
  <sheetData>
    <row r="1" spans="1:3" ht="26.25" x14ac:dyDescent="0.4">
      <c r="A1" s="75" t="s">
        <v>22</v>
      </c>
    </row>
    <row r="2" spans="1:3" x14ac:dyDescent="0.25">
      <c r="A2" s="76" t="s">
        <v>23</v>
      </c>
      <c r="B2" s="76"/>
      <c r="C2" s="76"/>
    </row>
    <row r="3" spans="1:3" x14ac:dyDescent="0.25">
      <c r="A3" s="76" t="s">
        <v>24</v>
      </c>
      <c r="B3" s="76"/>
      <c r="C3" s="76"/>
    </row>
    <row r="9" spans="1:3" x14ac:dyDescent="0.25">
      <c r="A9" s="77" t="s">
        <v>29</v>
      </c>
      <c r="B9" s="77"/>
    </row>
    <row r="10" spans="1:3" x14ac:dyDescent="0.25">
      <c r="A10" s="79" t="s">
        <v>27</v>
      </c>
      <c r="B10" s="79">
        <v>10</v>
      </c>
    </row>
    <row r="11" spans="1:3" x14ac:dyDescent="0.25">
      <c r="A11" s="79" t="s">
        <v>28</v>
      </c>
      <c r="B11" s="79">
        <v>8</v>
      </c>
    </row>
    <row r="12" spans="1:3" x14ac:dyDescent="0.25">
      <c r="A12" s="79" t="s">
        <v>25</v>
      </c>
      <c r="B12" s="79">
        <v>15</v>
      </c>
    </row>
    <row r="13" spans="1:3" x14ac:dyDescent="0.25">
      <c r="A13" s="79" t="s">
        <v>26</v>
      </c>
      <c r="B13" s="79">
        <v>25</v>
      </c>
    </row>
    <row r="15" spans="1:3" x14ac:dyDescent="0.25">
      <c r="A15" s="78"/>
      <c r="B15" s="94" cm="1">
        <f t="array" ref="B15">HouseSurfaceArea(B10,B13,B12,B11)</f>
        <v>1468.2928049865327</v>
      </c>
    </row>
  </sheetData>
  <pageMargins left="0.7" right="0.7" top="0.75" bottom="0.75" header="0.3" footer="0.3"/>
  <pageSetup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FuelCostCalc</vt:lpstr>
      <vt:lpstr>PercentChange</vt:lpstr>
      <vt:lpstr>SurfaceArea</vt:lpstr>
    </vt:vector>
  </TitlesOfParts>
  <Company>Learn iT!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10-05 Student</dc:creator>
  <cp:lastModifiedBy>Sandu</cp:lastModifiedBy>
  <dcterms:created xsi:type="dcterms:W3CDTF">2016-07-01T00:49:27Z</dcterms:created>
  <dcterms:modified xsi:type="dcterms:W3CDTF">2022-02-06T22:18:07Z</dcterms:modified>
</cp:coreProperties>
</file>